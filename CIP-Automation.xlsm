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ntariogov-my.sharepoint.com/personal/syed_iltefat_ontario_ca/Documents/Desktop/Automation Interface/"/>
    </mc:Choice>
  </mc:AlternateContent>
  <xr:revisionPtr revIDLastSave="7" documentId="13_ncr:1_{5EABB490-7074-4A12-9EC9-421A35EAF7E0}" xr6:coauthVersionLast="47" xr6:coauthVersionMax="47" xr10:uidLastSave="{B76BB46A-31A3-405F-906C-5D0D23C0E461}"/>
  <bookViews>
    <workbookView xWindow="-108" yWindow="-108" windowWidth="23256" windowHeight="12456" activeTab="1" xr2:uid="{00000000-000D-0000-FFFF-FFFF00000000}"/>
  </bookViews>
  <sheets>
    <sheet name="Tool" sheetId="2" r:id="rId1"/>
    <sheet name="QueryIncidents_Params" sheetId="6" r:id="rId2"/>
    <sheet name="DropdownList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6" l="1"/>
  <c r="J14" i="6"/>
  <c r="J13" i="6"/>
  <c r="J12" i="6"/>
  <c r="J11" i="6"/>
  <c r="J10" i="6"/>
  <c r="J9" i="6"/>
  <c r="J8" i="6"/>
  <c r="J7" i="6"/>
  <c r="J6" i="6"/>
  <c r="J5" i="6"/>
  <c r="J4" i="6"/>
  <c r="J3" i="6"/>
  <c r="J2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I12" i="6" l="1"/>
  <c r="I13" i="6"/>
  <c r="I6" i="6"/>
  <c r="I8" i="6"/>
  <c r="I10" i="6"/>
  <c r="I14" i="6"/>
  <c r="I5" i="6"/>
  <c r="I7" i="6"/>
  <c r="I9" i="6"/>
  <c r="I11" i="6"/>
  <c r="I15" i="6"/>
  <c r="I4" i="6"/>
  <c r="I3" i="6"/>
  <c r="I2" i="6"/>
</calcChain>
</file>

<file path=xl/sharedStrings.xml><?xml version="1.0" encoding="utf-8"?>
<sst xmlns="http://schemas.openxmlformats.org/spreadsheetml/2006/main" count="80" uniqueCount="43">
  <si>
    <t>IncidentRefId</t>
  </si>
  <si>
    <t>UnitId</t>
  </si>
  <si>
    <t>FromDateTime</t>
  </si>
  <si>
    <t>ToDateTime</t>
  </si>
  <si>
    <t>Condition1</t>
  </si>
  <si>
    <t>Condition2</t>
  </si>
  <si>
    <t>Condition3</t>
  </si>
  <si>
    <t>Condition4</t>
  </si>
  <si>
    <t>7 - Passing 2 parameters: unitID and fomrDateTime</t>
  </si>
  <si>
    <t>1 - Passing 0 parameter.</t>
  </si>
  <si>
    <t>2 - Passing 1 parameter:  IncidentRefId</t>
  </si>
  <si>
    <t>3 - Passing 1 parameter: UnitID</t>
  </si>
  <si>
    <t>4 - Passing 2 parameters: fromDateTime and ToDateTime</t>
  </si>
  <si>
    <t>5 - Passing 3 parameters: UnitID, fromDateTime and ToDateTime</t>
  </si>
  <si>
    <t>6 - Passing 3 parameters: IncidentRefId, unitID and ToDateTime</t>
  </si>
  <si>
    <t>9 - Passing 3 parameters: IncidentRefId, unitID and FromDateTime</t>
  </si>
  <si>
    <t>8 - Passing all four parameters</t>
  </si>
  <si>
    <t>Selected</t>
  </si>
  <si>
    <t>Yes</t>
  </si>
  <si>
    <t>Case</t>
  </si>
  <si>
    <t>10 - Passing 1 parameter: ToDateTime</t>
  </si>
  <si>
    <t>11 - Passing 2 parameters: unitID and ToDateTime</t>
  </si>
  <si>
    <t>12 - Passing 2 parameters: IncidentrefID and ToDateTime</t>
  </si>
  <si>
    <t>13 - Passing 2 parameters: IncidentrefID and FromDateTime</t>
  </si>
  <si>
    <t xml:space="preserve">14 - Negative test case:  IncidentRefId is outside of time range specified. </t>
  </si>
  <si>
    <t>ServiceId</t>
  </si>
  <si>
    <t>CACCId</t>
  </si>
  <si>
    <t>921-PREPROD-CAD5</t>
  </si>
  <si>
    <t>454-PREPROD-CAD5-MPDS</t>
  </si>
  <si>
    <t>CACC</t>
  </si>
  <si>
    <t>Mississauga</t>
  </si>
  <si>
    <t>Georgian</t>
  </si>
  <si>
    <t>930-PREPROD-CAD5</t>
  </si>
  <si>
    <t>Hamilton DPCI</t>
  </si>
  <si>
    <t>920-PREPROD-CAD5-MPDS</t>
  </si>
  <si>
    <t>Cambridge-DPCI</t>
  </si>
  <si>
    <t>London</t>
  </si>
  <si>
    <t>910-PREPROD-CAD5</t>
  </si>
  <si>
    <t xml:space="preserve">	7c6535e2-47d6-4ab2-977a-2dfad081cdf6</t>
  </si>
  <si>
    <t>2025-10-19T11:00:47.717-04:00</t>
  </si>
  <si>
    <t>2025-10-23T16:00:47.717-04:00</t>
  </si>
  <si>
    <t>7c6535e2-47d6-4ab2-977a-2dfad081cdf6</t>
  </si>
  <si>
    <t>Conditions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</si>
</sst>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0000FF"/>
      <name val="Calibri"/>
      <family val="2"/>
    </font>
    <font>
      <sz val="10"/>
      <color theme="1"/>
      <name val="Aptos Narrow"/>
      <family val="2"/>
    </font>
    <font>
      <b/>
      <sz val="14"/>
      <color theme="1"/>
      <name val="Aptos Narrow"/>
      <family val="2"/>
    </font>
    <font>
      <sz val="14"/>
      <color theme="1"/>
      <name val="Aptos Narrow"/>
      <family val="2"/>
    </font>
    <font>
      <b/>
      <sz val="11"/>
      <color theme="1"/>
      <name val="Calibri"/>
      <family val="2"/>
      <scheme val="minor"/>
    </font>
    <font>
      <b/>
      <sz val="14"/>
      <color rgb="FFFF0000"/>
      <name val="Aptos Narrow"/>
      <family val="2"/>
    </font>
    <font>
      <b/>
      <sz val="11"/>
      <color rgb="FF212529"/>
      <name val="Calibri"/>
      <family val="2"/>
      <scheme val="minor"/>
    </font>
    <font>
      <sz val="11"/>
      <color rgb="FF212529"/>
      <name val="Consolas"/>
      <family val="3"/>
    </font>
    <font>
      <sz val="10"/>
      <color rgb="FF21252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7" tint="0.80001220740379042"/>
        </stop>
      </gradient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0" borderId="0" xfId="0" applyFont="1"/>
    <xf numFmtId="0" fontId="3" fillId="3" borderId="3" xfId="0" applyFont="1" applyFill="1" applyBorder="1"/>
    <xf numFmtId="0" fontId="3" fillId="0" borderId="1" xfId="0" applyFont="1" applyBorder="1" applyAlignment="1">
      <alignment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wrapText="1"/>
    </xf>
    <xf numFmtId="0" fontId="4" fillId="4" borderId="0" xfId="0" applyFont="1" applyFill="1"/>
    <xf numFmtId="0" fontId="4" fillId="2" borderId="2" xfId="0" applyFont="1" applyFill="1" applyBorder="1" applyAlignment="1">
      <alignment wrapText="1"/>
    </xf>
    <xf numFmtId="0" fontId="5" fillId="0" borderId="0" xfId="0" applyFont="1"/>
    <xf numFmtId="0" fontId="3" fillId="3" borderId="3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7" fillId="4" borderId="0" xfId="0" applyFont="1" applyFill="1" applyAlignment="1">
      <alignment horizontal="left"/>
    </xf>
    <xf numFmtId="0" fontId="7" fillId="4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8" fillId="5" borderId="0" xfId="0" applyFont="1" applyFill="1" applyAlignment="1">
      <alignment horizontal="left" vertical="center"/>
    </xf>
    <xf numFmtId="0" fontId="6" fillId="5" borderId="0" xfId="0" applyFont="1" applyFill="1" applyAlignment="1">
      <alignment horizontal="left"/>
    </xf>
    <xf numFmtId="0" fontId="9" fillId="0" borderId="0" xfId="0" applyFont="1" applyAlignment="1">
      <alignment horizontal="left" vertical="center"/>
    </xf>
    <xf numFmtId="0" fontId="10" fillId="0" borderId="0" xfId="0" applyFont="1"/>
    <xf numFmtId="0" fontId="3" fillId="3" borderId="1" xfId="0" applyFont="1" applyFill="1" applyBorder="1" applyAlignment="1">
      <alignment horizontal="left" wrapText="1"/>
    </xf>
    <xf numFmtId="22" fontId="3" fillId="0" borderId="0" xfId="0" applyNumberFormat="1" applyFont="1" applyAlignment="1">
      <alignment horizontal="left"/>
    </xf>
    <xf numFmtId="0" fontId="3" fillId="3" borderId="3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4" fillId="4" borderId="0" xfId="0" applyFont="1" applyFill="1" applyAlignment="1">
      <alignment horizontal="left"/>
    </xf>
    <xf numFmtId="0" fontId="4" fillId="4" borderId="0" xfId="0" applyFont="1" applyFill="1" applyAlignment="1">
      <alignment horizontal="center"/>
    </xf>
  </cellXfs>
  <cellStyles count="1">
    <cellStyle name="Normal" xfId="0" builtinId="0"/>
  </cellStyles>
  <dxfs count="30"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  <color rgb="FFC00000"/>
      </font>
      <fill>
        <gradientFill degree="135">
          <stop position="0">
            <color theme="3" tint="0.80001220740379042"/>
          </stop>
          <stop position="1">
            <color theme="5" tint="0.80001220740379042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2</xdr:row>
          <xdr:rowOff>167640</xdr:rowOff>
        </xdr:from>
        <xdr:to>
          <xdr:col>4</xdr:col>
          <xdr:colOff>251460</xdr:colOff>
          <xdr:row>5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Launch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6F68F-1979-412B-9809-0EDF6CE7C912}">
  <sheetPr codeName="Sheet2"/>
  <dimension ref="A1"/>
  <sheetViews>
    <sheetView showGridLines="0" workbookViewId="0">
      <selection activeCell="O17" sqref="O17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aunch_Click">
                <anchor moveWithCells="1" sizeWithCells="1">
                  <from>
                    <xdr:col>1</xdr:col>
                    <xdr:colOff>350520</xdr:colOff>
                    <xdr:row>2</xdr:row>
                    <xdr:rowOff>167640</xdr:rowOff>
                  </from>
                  <to>
                    <xdr:col>4</xdr:col>
                    <xdr:colOff>251460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7817-8CF5-49BC-AAEE-5C84E5471D6C}">
  <sheetPr codeName="Sheet6"/>
  <dimension ref="A1:M16"/>
  <sheetViews>
    <sheetView showGridLines="0" tabSelected="1" workbookViewId="0">
      <pane ySplit="1" topLeftCell="A5" activePane="bottomLeft" state="frozen"/>
      <selection pane="bottomLeft" activeCell="A10" sqref="A7:A10"/>
    </sheetView>
  </sheetViews>
  <sheetFormatPr defaultColWidth="38.88671875" defaultRowHeight="13.8" x14ac:dyDescent="0.3"/>
  <cols>
    <col min="1" max="1" width="10.5546875" style="10" customWidth="1"/>
    <col min="2" max="2" width="14" style="10" customWidth="1"/>
    <col min="3" max="3" width="18.21875" style="10" bestFit="1" customWidth="1"/>
    <col min="4" max="4" width="44.21875" style="4" customWidth="1"/>
    <col min="5" max="5" width="39.109375" style="1" bestFit="1" customWidth="1"/>
    <col min="6" max="6" width="15.77734375" style="22" customWidth="1"/>
    <col min="7" max="8" width="27.6640625" style="1" bestFit="1" customWidth="1"/>
    <col min="9" max="9" width="46.6640625" style="10" customWidth="1"/>
    <col min="10" max="10" width="27.33203125" style="5" customWidth="1"/>
    <col min="11" max="11" width="21.88671875" style="5" bestFit="1" customWidth="1"/>
    <col min="12" max="12" width="29" style="5" customWidth="1"/>
    <col min="13" max="13" width="21" style="5" customWidth="1"/>
    <col min="14" max="16384" width="38.88671875" style="1"/>
  </cols>
  <sheetData>
    <row r="1" spans="1:13" s="8" customFormat="1" ht="18" x14ac:dyDescent="0.35">
      <c r="A1" s="24" t="s">
        <v>17</v>
      </c>
      <c r="B1" s="11" t="s">
        <v>26</v>
      </c>
      <c r="C1" s="11" t="s">
        <v>25</v>
      </c>
      <c r="D1" s="12" t="s">
        <v>19</v>
      </c>
      <c r="E1" s="6" t="s">
        <v>0</v>
      </c>
      <c r="F1" s="23" t="s">
        <v>1</v>
      </c>
      <c r="G1" s="6" t="s">
        <v>2</v>
      </c>
      <c r="H1" s="6" t="s">
        <v>3</v>
      </c>
      <c r="I1" s="6" t="s">
        <v>42</v>
      </c>
      <c r="J1" s="7" t="s">
        <v>4</v>
      </c>
      <c r="K1" s="7" t="s">
        <v>5</v>
      </c>
      <c r="L1" s="7" t="s">
        <v>6</v>
      </c>
      <c r="M1" s="7" t="s">
        <v>7</v>
      </c>
    </row>
    <row r="2" spans="1:13" ht="42" customHeight="1" x14ac:dyDescent="0.3">
      <c r="A2" s="9"/>
      <c r="B2" s="9">
        <v>910</v>
      </c>
      <c r="C2" s="9" t="s">
        <v>37</v>
      </c>
      <c r="D2" s="2" t="s">
        <v>9</v>
      </c>
      <c r="E2" s="2"/>
      <c r="F2" s="21"/>
      <c r="G2" s="2"/>
      <c r="H2" s="2"/>
      <c r="I2" s="19" t="str">
        <f ca="1">_xlfn.CONCAT(J2,K2,L2,M2)</f>
        <v xml:space="preserve"> and TransmissionDateTime&gt;=cast('2025-11-04 11:39:48' as DateTime) and TransmissionDateTime&lt;=cast('2025-11-14 11:39:48' as DateTime)</v>
      </c>
      <c r="J2" s="3" t="str">
        <f t="shared" ref="J2:J15" si="0">IF(E2="",""," and IncidentRefID='" &amp;TRIM(E2)&amp;"'")</f>
        <v/>
      </c>
      <c r="K2" s="3" t="str">
        <f t="shared" ref="K2:K15" si="1">IF(F2="",""," and VehicleName='" &amp;F2&amp; "'")</f>
        <v/>
      </c>
      <c r="L2" s="3" t="str">
        <f t="shared" ref="L2:L15" ca="1" si="2">IF(G2="",_xlfn.CONCAT(" and TransmissionDateTime&gt;=cast('",TEXT(NOW()-10,"yyyy-mm-dd hh:mm:ss"),"' as DateTime)")," and TransmissionDateTime&gt;=cast('"&amp;_xlfn.CONCAT(LEFT(G2,10)," ",MID(G2,12,8))&amp;"' as DateTime)")</f>
        <v xml:space="preserve"> and TransmissionDateTime&gt;=cast('2025-11-04 11:39:48' as DateTime)</v>
      </c>
      <c r="M2" s="3" t="str">
        <f t="shared" ref="M2:M15" ca="1" si="3">IF(H2="",_xlfn.CONCAT(" and TransmissionDateTime&lt;=cast('",TEXT(NOW(),"yyyy-mm-dd hh:mm:ss"),"' as DateTime)")," and TransmissionDateTime&lt;=cast('"&amp;_xlfn.CONCAT(LEFT(H2,10)," ",MID(H2,12,8))&amp;"' as DateTime)")</f>
        <v xml:space="preserve"> and TransmissionDateTime&lt;=cast('2025-11-14 11:39:48' as DateTime)</v>
      </c>
    </row>
    <row r="3" spans="1:13" ht="69" x14ac:dyDescent="0.3">
      <c r="A3" s="9" t="s">
        <v>18</v>
      </c>
      <c r="B3" s="9">
        <v>910</v>
      </c>
      <c r="C3" s="9" t="s">
        <v>37</v>
      </c>
      <c r="D3" s="2" t="s">
        <v>10</v>
      </c>
      <c r="E3" s="2" t="s">
        <v>41</v>
      </c>
      <c r="F3" s="21"/>
      <c r="G3" s="2"/>
      <c r="H3" s="2"/>
      <c r="I3" s="19" t="str">
        <f ca="1">_xlfn.CONCAT(J3,K3,L3,M3)</f>
        <v xml:space="preserve"> and IncidentRefID='7c6535e2-47d6-4ab2-977a-2dfad081cdf6' and TransmissionDateTime&gt;=cast('2025-11-04 11:39:48' as DateTime) and TransmissionDateTime&lt;=cast('2025-11-14 11:39:48' as DateTime)</v>
      </c>
      <c r="J3" s="3" t="str">
        <f t="shared" si="0"/>
        <v xml:space="preserve"> and IncidentRefID='7c6535e2-47d6-4ab2-977a-2dfad081cdf6'</v>
      </c>
      <c r="K3" s="3" t="str">
        <f t="shared" si="1"/>
        <v/>
      </c>
      <c r="L3" s="3" t="str">
        <f t="shared" ca="1" si="2"/>
        <v xml:space="preserve"> and TransmissionDateTime&gt;=cast('2025-11-04 11:39:48' as DateTime)</v>
      </c>
      <c r="M3" s="3" t="str">
        <f t="shared" ca="1" si="3"/>
        <v xml:space="preserve"> and TransmissionDateTime&lt;=cast('2025-11-14 11:39:48' as DateTime)</v>
      </c>
    </row>
    <row r="4" spans="1:13" ht="108.6" customHeight="1" x14ac:dyDescent="0.3">
      <c r="A4" s="9" t="s">
        <v>18</v>
      </c>
      <c r="B4" s="9">
        <v>910</v>
      </c>
      <c r="C4" s="9" t="s">
        <v>37</v>
      </c>
      <c r="D4" s="9" t="s">
        <v>11</v>
      </c>
      <c r="E4" s="2"/>
      <c r="F4" s="21">
        <v>1049</v>
      </c>
      <c r="G4" s="2"/>
      <c r="H4" s="2"/>
      <c r="I4" s="19" t="str">
        <f ca="1">_xlfn.CONCAT(J4,K4,L4,M4)</f>
        <v xml:space="preserve"> and VehicleName='1049' and TransmissionDateTime&gt;=cast('2025-11-04 11:39:48' as DateTime) and TransmissionDateTime&lt;=cast('2025-11-14 11:39:48' as DateTime)</v>
      </c>
      <c r="J4" s="3" t="str">
        <f t="shared" si="0"/>
        <v/>
      </c>
      <c r="K4" s="3" t="str">
        <f t="shared" si="1"/>
        <v xml:space="preserve"> and VehicleName='1049'</v>
      </c>
      <c r="L4" s="3" t="str">
        <f t="shared" ca="1" si="2"/>
        <v xml:space="preserve"> and TransmissionDateTime&gt;=cast('2025-11-04 11:39:48' as DateTime)</v>
      </c>
      <c r="M4" s="3" t="str">
        <f t="shared" ca="1" si="3"/>
        <v xml:space="preserve"> and TransmissionDateTime&lt;=cast('2025-11-14 11:39:48' as DateTime)</v>
      </c>
    </row>
    <row r="5" spans="1:13" ht="55.2" x14ac:dyDescent="0.3">
      <c r="A5" s="9" t="s">
        <v>18</v>
      </c>
      <c r="B5" s="9">
        <v>910</v>
      </c>
      <c r="C5" s="9" t="s">
        <v>37</v>
      </c>
      <c r="D5" s="9" t="s">
        <v>12</v>
      </c>
      <c r="E5" s="2"/>
      <c r="F5" s="21"/>
      <c r="G5" s="2" t="s">
        <v>39</v>
      </c>
      <c r="H5" s="2" t="s">
        <v>40</v>
      </c>
      <c r="I5" s="19" t="str">
        <f ca="1">_xlfn.CONCAT(J5,K5,L5,M5)</f>
        <v xml:space="preserve"> and TransmissionDateTime&gt;=cast('2025-10-19 11:00:47' as DateTime) and TransmissionDateTime&lt;=cast('2025-10-23 16:00:47' as DateTime)</v>
      </c>
      <c r="J5" s="3" t="str">
        <f t="shared" si="0"/>
        <v/>
      </c>
      <c r="K5" s="3" t="str">
        <f t="shared" si="1"/>
        <v/>
      </c>
      <c r="L5" s="3" t="str">
        <f t="shared" ca="1" si="2"/>
        <v xml:space="preserve"> and TransmissionDateTime&gt;=cast('2025-10-19 11:00:47' as DateTime)</v>
      </c>
      <c r="M5" s="3" t="str">
        <f t="shared" ca="1" si="3"/>
        <v xml:space="preserve"> and TransmissionDateTime&lt;=cast('2025-10-23 16:00:47' as DateTime)</v>
      </c>
    </row>
    <row r="6" spans="1:13" ht="55.2" x14ac:dyDescent="0.3">
      <c r="A6" s="9" t="s">
        <v>18</v>
      </c>
      <c r="B6" s="9">
        <v>910</v>
      </c>
      <c r="C6" s="9" t="s">
        <v>37</v>
      </c>
      <c r="D6" s="9" t="s">
        <v>13</v>
      </c>
      <c r="E6" s="2"/>
      <c r="F6" s="21">
        <v>1049</v>
      </c>
      <c r="G6" s="2" t="s">
        <v>39</v>
      </c>
      <c r="H6" s="2" t="s">
        <v>40</v>
      </c>
      <c r="I6" s="19" t="str">
        <f t="shared" ref="I6:I15" ca="1" si="4">_xlfn.CONCAT(J6,K6,L6,M6)</f>
        <v xml:space="preserve"> and VehicleName='1049' and TransmissionDateTime&gt;=cast('2025-10-19 11:00:47' as DateTime) and TransmissionDateTime&lt;=cast('2025-10-23 16:00:47' as DateTime)</v>
      </c>
      <c r="J6" s="3" t="str">
        <f t="shared" si="0"/>
        <v/>
      </c>
      <c r="K6" s="3" t="str">
        <f t="shared" si="1"/>
        <v xml:space="preserve"> and VehicleName='1049'</v>
      </c>
      <c r="L6" s="3" t="str">
        <f t="shared" ca="1" si="2"/>
        <v xml:space="preserve"> and TransmissionDateTime&gt;=cast('2025-10-19 11:00:47' as DateTime)</v>
      </c>
      <c r="M6" s="3" t="str">
        <f t="shared" ca="1" si="3"/>
        <v xml:space="preserve"> and TransmissionDateTime&lt;=cast('2025-10-23 16:00:47' as DateTime)</v>
      </c>
    </row>
    <row r="7" spans="1:13" ht="69" x14ac:dyDescent="0.3">
      <c r="A7" s="9"/>
      <c r="B7" s="9">
        <v>910</v>
      </c>
      <c r="C7" s="9" t="s">
        <v>37</v>
      </c>
      <c r="D7" s="9" t="s">
        <v>14</v>
      </c>
      <c r="E7" s="2" t="s">
        <v>41</v>
      </c>
      <c r="F7" s="21">
        <v>1049</v>
      </c>
      <c r="G7" s="2"/>
      <c r="H7" s="2" t="s">
        <v>40</v>
      </c>
      <c r="I7" s="19" t="str">
        <f t="shared" ca="1" si="4"/>
        <v xml:space="preserve"> and IncidentRefID='7c6535e2-47d6-4ab2-977a-2dfad081cdf6' and VehicleName='1049' and TransmissionDateTime&gt;=cast('2025-11-04 11:39:48' as DateTime) and TransmissionDateTime&lt;=cast('2025-10-23 16:00:47' as DateTime)</v>
      </c>
      <c r="J7" s="3" t="str">
        <f t="shared" si="0"/>
        <v xml:space="preserve"> and IncidentRefID='7c6535e2-47d6-4ab2-977a-2dfad081cdf6'</v>
      </c>
      <c r="K7" s="3" t="str">
        <f t="shared" si="1"/>
        <v xml:space="preserve"> and VehicleName='1049'</v>
      </c>
      <c r="L7" s="3" t="str">
        <f t="shared" ca="1" si="2"/>
        <v xml:space="preserve"> and TransmissionDateTime&gt;=cast('2025-11-04 11:39:48' as DateTime)</v>
      </c>
      <c r="M7" s="3" t="str">
        <f t="shared" ca="1" si="3"/>
        <v xml:space="preserve"> and TransmissionDateTime&lt;=cast('2025-10-23 16:00:47' as DateTime)</v>
      </c>
    </row>
    <row r="8" spans="1:13" ht="55.2" x14ac:dyDescent="0.3">
      <c r="A8" s="9"/>
      <c r="B8" s="9">
        <v>910</v>
      </c>
      <c r="C8" s="9" t="s">
        <v>37</v>
      </c>
      <c r="D8" s="9" t="s">
        <v>8</v>
      </c>
      <c r="E8" s="2"/>
      <c r="F8" s="21">
        <v>1049</v>
      </c>
      <c r="G8" s="2" t="s">
        <v>39</v>
      </c>
      <c r="H8" s="2"/>
      <c r="I8" s="19" t="str">
        <f t="shared" ca="1" si="4"/>
        <v xml:space="preserve"> and VehicleName='1049' and TransmissionDateTime&gt;=cast('2025-10-19 11:00:47' as DateTime) and TransmissionDateTime&lt;=cast('2025-11-14 11:39:48' as DateTime)</v>
      </c>
      <c r="J8" s="3" t="str">
        <f t="shared" si="0"/>
        <v/>
      </c>
      <c r="K8" s="3" t="str">
        <f t="shared" si="1"/>
        <v xml:space="preserve"> and VehicleName='1049'</v>
      </c>
      <c r="L8" s="3" t="str">
        <f t="shared" ca="1" si="2"/>
        <v xml:space="preserve"> and TransmissionDateTime&gt;=cast('2025-10-19 11:00:47' as DateTime)</v>
      </c>
      <c r="M8" s="3" t="str">
        <f t="shared" ca="1" si="3"/>
        <v xml:space="preserve"> and TransmissionDateTime&lt;=cast('2025-11-14 11:39:48' as DateTime)</v>
      </c>
    </row>
    <row r="9" spans="1:13" ht="69" x14ac:dyDescent="0.3">
      <c r="A9" s="9"/>
      <c r="B9" s="9">
        <v>910</v>
      </c>
      <c r="C9" s="9" t="s">
        <v>37</v>
      </c>
      <c r="D9" s="9" t="s">
        <v>16</v>
      </c>
      <c r="E9" s="2" t="s">
        <v>41</v>
      </c>
      <c r="F9" s="21">
        <v>1049</v>
      </c>
      <c r="G9" s="2" t="s">
        <v>39</v>
      </c>
      <c r="H9" s="2" t="s">
        <v>40</v>
      </c>
      <c r="I9" s="19" t="str">
        <f t="shared" ca="1" si="4"/>
        <v xml:space="preserve"> and IncidentRefID='7c6535e2-47d6-4ab2-977a-2dfad081cdf6' and VehicleName='1049' and TransmissionDateTime&gt;=cast('2025-10-19 11:00:47' as DateTime) and TransmissionDateTime&lt;=cast('2025-10-23 16:00:47' as DateTime)</v>
      </c>
      <c r="J9" s="3" t="str">
        <f t="shared" si="0"/>
        <v xml:space="preserve"> and IncidentRefID='7c6535e2-47d6-4ab2-977a-2dfad081cdf6'</v>
      </c>
      <c r="K9" s="3" t="str">
        <f t="shared" si="1"/>
        <v xml:space="preserve"> and VehicleName='1049'</v>
      </c>
      <c r="L9" s="3" t="str">
        <f t="shared" ca="1" si="2"/>
        <v xml:space="preserve"> and TransmissionDateTime&gt;=cast('2025-10-19 11:00:47' as DateTime)</v>
      </c>
      <c r="M9" s="3" t="str">
        <f t="shared" ca="1" si="3"/>
        <v xml:space="preserve"> and TransmissionDateTime&lt;=cast('2025-10-23 16:00:47' as DateTime)</v>
      </c>
    </row>
    <row r="10" spans="1:13" ht="69" x14ac:dyDescent="0.3">
      <c r="A10" s="9"/>
      <c r="B10" s="9">
        <v>910</v>
      </c>
      <c r="C10" s="9" t="s">
        <v>37</v>
      </c>
      <c r="D10" s="9" t="s">
        <v>15</v>
      </c>
      <c r="E10" s="2" t="s">
        <v>41</v>
      </c>
      <c r="F10" s="21">
        <v>1049</v>
      </c>
      <c r="G10" s="2" t="s">
        <v>39</v>
      </c>
      <c r="H10" s="2"/>
      <c r="I10" s="19" t="str">
        <f t="shared" ca="1" si="4"/>
        <v xml:space="preserve"> and IncidentRefID='7c6535e2-47d6-4ab2-977a-2dfad081cdf6' and VehicleName='1049' and TransmissionDateTime&gt;=cast('2025-10-19 11:00:47' as DateTime) and TransmissionDateTime&lt;=cast('2025-11-14 11:39:48' as DateTime)</v>
      </c>
      <c r="J10" s="3" t="str">
        <f t="shared" si="0"/>
        <v xml:space="preserve"> and IncidentRefID='7c6535e2-47d6-4ab2-977a-2dfad081cdf6'</v>
      </c>
      <c r="K10" s="3" t="str">
        <f t="shared" si="1"/>
        <v xml:space="preserve"> and VehicleName='1049'</v>
      </c>
      <c r="L10" s="3" t="str">
        <f t="shared" ca="1" si="2"/>
        <v xml:space="preserve"> and TransmissionDateTime&gt;=cast('2025-10-19 11:00:47' as DateTime)</v>
      </c>
      <c r="M10" s="3" t="str">
        <f t="shared" ca="1" si="3"/>
        <v xml:space="preserve"> and TransmissionDateTime&lt;=cast('2025-11-14 11:39:48' as DateTime)</v>
      </c>
    </row>
    <row r="11" spans="1:13" ht="55.2" x14ac:dyDescent="0.3">
      <c r="A11" s="9"/>
      <c r="B11" s="9">
        <v>910</v>
      </c>
      <c r="C11" s="9" t="s">
        <v>37</v>
      </c>
      <c r="D11" s="9" t="s">
        <v>20</v>
      </c>
      <c r="E11" s="2"/>
      <c r="F11" s="21"/>
      <c r="G11" s="2"/>
      <c r="H11" s="2" t="s">
        <v>40</v>
      </c>
      <c r="I11" s="19" t="str">
        <f t="shared" ca="1" si="4"/>
        <v xml:space="preserve"> and TransmissionDateTime&gt;=cast('2025-11-04 11:39:48' as DateTime) and TransmissionDateTime&lt;=cast('2025-10-23 16:00:47' as DateTime)</v>
      </c>
      <c r="J11" s="3" t="str">
        <f t="shared" si="0"/>
        <v/>
      </c>
      <c r="K11" s="3" t="str">
        <f t="shared" si="1"/>
        <v/>
      </c>
      <c r="L11" s="3" t="str">
        <f t="shared" ca="1" si="2"/>
        <v xml:space="preserve"> and TransmissionDateTime&gt;=cast('2025-11-04 11:39:48' as DateTime)</v>
      </c>
      <c r="M11" s="3" t="str">
        <f t="shared" ca="1" si="3"/>
        <v xml:space="preserve"> and TransmissionDateTime&lt;=cast('2025-10-23 16:00:47' as DateTime)</v>
      </c>
    </row>
    <row r="12" spans="1:13" ht="55.2" x14ac:dyDescent="0.3">
      <c r="A12" s="9"/>
      <c r="B12" s="9">
        <v>910</v>
      </c>
      <c r="C12" s="9" t="s">
        <v>37</v>
      </c>
      <c r="D12" s="9" t="s">
        <v>21</v>
      </c>
      <c r="E12" s="2"/>
      <c r="F12" s="21">
        <v>1049</v>
      </c>
      <c r="G12" s="2"/>
      <c r="H12" s="2" t="s">
        <v>40</v>
      </c>
      <c r="I12" s="19" t="str">
        <f t="shared" ca="1" si="4"/>
        <v xml:space="preserve"> and VehicleName='1049' and TransmissionDateTime&gt;=cast('2025-11-04 11:39:48' as DateTime) and TransmissionDateTime&lt;=cast('2025-10-23 16:00:47' as DateTime)</v>
      </c>
      <c r="J12" s="3" t="str">
        <f t="shared" si="0"/>
        <v/>
      </c>
      <c r="K12" s="3" t="str">
        <f t="shared" si="1"/>
        <v xml:space="preserve"> and VehicleName='1049'</v>
      </c>
      <c r="L12" s="3" t="str">
        <f t="shared" ca="1" si="2"/>
        <v xml:space="preserve"> and TransmissionDateTime&gt;=cast('2025-11-04 11:39:48' as DateTime)</v>
      </c>
      <c r="M12" s="3" t="str">
        <f t="shared" ca="1" si="3"/>
        <v xml:space="preserve"> and TransmissionDateTime&lt;=cast('2025-10-23 16:00:47' as DateTime)</v>
      </c>
    </row>
    <row r="13" spans="1:13" ht="69" x14ac:dyDescent="0.3">
      <c r="A13" s="9"/>
      <c r="B13" s="9">
        <v>910</v>
      </c>
      <c r="C13" s="9" t="s">
        <v>37</v>
      </c>
      <c r="D13" s="9" t="s">
        <v>22</v>
      </c>
      <c r="E13" s="2" t="s">
        <v>38</v>
      </c>
      <c r="F13" s="21"/>
      <c r="G13" s="2"/>
      <c r="H13" s="2" t="s">
        <v>40</v>
      </c>
      <c r="I13" s="19" t="str">
        <f t="shared" ca="1" si="4"/>
        <v xml:space="preserve"> and IncidentRefID='	7c6535e2-47d6-4ab2-977a-2dfad081cdf6' and TransmissionDateTime&gt;=cast('2025-11-04 11:39:48' as DateTime) and TransmissionDateTime&lt;=cast('2025-10-23 16:00:47' as DateTime)</v>
      </c>
      <c r="J13" s="3" t="str">
        <f t="shared" si="0"/>
        <v xml:space="preserve"> and IncidentRefID='	7c6535e2-47d6-4ab2-977a-2dfad081cdf6'</v>
      </c>
      <c r="K13" s="3" t="str">
        <f t="shared" si="1"/>
        <v/>
      </c>
      <c r="L13" s="3" t="str">
        <f t="shared" ca="1" si="2"/>
        <v xml:space="preserve"> and TransmissionDateTime&gt;=cast('2025-11-04 11:39:48' as DateTime)</v>
      </c>
      <c r="M13" s="3" t="str">
        <f t="shared" ca="1" si="3"/>
        <v xml:space="preserve"> and TransmissionDateTime&lt;=cast('2025-10-23 16:00:47' as DateTime)</v>
      </c>
    </row>
    <row r="14" spans="1:13" ht="69" x14ac:dyDescent="0.3">
      <c r="A14" s="9"/>
      <c r="B14" s="9">
        <v>910</v>
      </c>
      <c r="C14" s="9" t="s">
        <v>37</v>
      </c>
      <c r="D14" s="9" t="s">
        <v>23</v>
      </c>
      <c r="E14" s="2" t="s">
        <v>38</v>
      </c>
      <c r="F14" s="21"/>
      <c r="G14" s="2" t="s">
        <v>39</v>
      </c>
      <c r="H14" s="2"/>
      <c r="I14" s="19" t="str">
        <f t="shared" ca="1" si="4"/>
        <v xml:space="preserve"> and IncidentRefID='	7c6535e2-47d6-4ab2-977a-2dfad081cdf6' and TransmissionDateTime&gt;=cast('2025-10-19 11:00:47' as DateTime) and TransmissionDateTime&lt;=cast('2025-11-14 11:39:48' as DateTime)</v>
      </c>
      <c r="J14" s="3" t="str">
        <f t="shared" si="0"/>
        <v xml:space="preserve"> and IncidentRefID='	7c6535e2-47d6-4ab2-977a-2dfad081cdf6'</v>
      </c>
      <c r="K14" s="3" t="str">
        <f t="shared" si="1"/>
        <v/>
      </c>
      <c r="L14" s="3" t="str">
        <f t="shared" ca="1" si="2"/>
        <v xml:space="preserve"> and TransmissionDateTime&gt;=cast('2025-10-19 11:00:47' as DateTime)</v>
      </c>
      <c r="M14" s="3" t="str">
        <f t="shared" ca="1" si="3"/>
        <v xml:space="preserve"> and TransmissionDateTime&lt;=cast('2025-11-14 11:39:48' as DateTime)</v>
      </c>
    </row>
    <row r="15" spans="1:13" ht="69" x14ac:dyDescent="0.3">
      <c r="A15" s="9"/>
      <c r="B15" s="9">
        <v>910</v>
      </c>
      <c r="C15" s="9" t="s">
        <v>37</v>
      </c>
      <c r="D15" s="9" t="s">
        <v>24</v>
      </c>
      <c r="E15" s="2" t="s">
        <v>38</v>
      </c>
      <c r="F15" s="21"/>
      <c r="G15" s="2" t="s">
        <v>39</v>
      </c>
      <c r="H15" s="2" t="s">
        <v>40</v>
      </c>
      <c r="I15" s="19" t="str">
        <f t="shared" ca="1" si="4"/>
        <v xml:space="preserve"> and IncidentRefID='	7c6535e2-47d6-4ab2-977a-2dfad081cdf6' and TransmissionDateTime&gt;=cast('2025-10-19 11:00:47' as DateTime) and TransmissionDateTime&lt;=cast('2025-10-23 16:00:47' as DateTime)</v>
      </c>
      <c r="J15" s="3" t="str">
        <f t="shared" si="0"/>
        <v xml:space="preserve"> and IncidentRefID='	7c6535e2-47d6-4ab2-977a-2dfad081cdf6'</v>
      </c>
      <c r="K15" s="3" t="str">
        <f t="shared" si="1"/>
        <v/>
      </c>
      <c r="L15" s="3" t="str">
        <f t="shared" ca="1" si="2"/>
        <v xml:space="preserve"> and TransmissionDateTime&gt;=cast('2025-10-19 11:00:47' as DateTime)</v>
      </c>
      <c r="M15" s="3" t="str">
        <f t="shared" ca="1" si="3"/>
        <v xml:space="preserve"> and TransmissionDateTime&lt;=cast('2025-10-23 16:00:47' as DateTime)</v>
      </c>
    </row>
    <row r="16" spans="1:13" x14ac:dyDescent="0.3">
      <c r="I16" s="20"/>
    </row>
  </sheetData>
  <phoneticPr fontId="1" type="noConversion"/>
  <conditionalFormatting sqref="D2:H2 F15">
    <cfRule type="expression" dxfId="29" priority="44">
      <formula>$A2="Yes"</formula>
    </cfRule>
  </conditionalFormatting>
  <conditionalFormatting sqref="A2:C15">
    <cfRule type="expression" dxfId="28" priority="43">
      <formula>$A2="Yes"</formula>
    </cfRule>
  </conditionalFormatting>
  <conditionalFormatting sqref="E5:H5 D3 E4 G4:H4 E6 E12 F3:H3 E8 G6:H10 E11:H11 G12:H12 F13:H14">
    <cfRule type="expression" dxfId="27" priority="42">
      <formula>$A3="Yes"</formula>
    </cfRule>
  </conditionalFormatting>
  <conditionalFormatting sqref="D4">
    <cfRule type="expression" dxfId="26" priority="36">
      <formula>$A4="Yes"</formula>
    </cfRule>
  </conditionalFormatting>
  <conditionalFormatting sqref="D5">
    <cfRule type="expression" dxfId="25" priority="35">
      <formula>$A5="Yes"</formula>
    </cfRule>
  </conditionalFormatting>
  <conditionalFormatting sqref="D6">
    <cfRule type="expression" dxfId="24" priority="34">
      <formula>$A6="Yes"</formula>
    </cfRule>
  </conditionalFormatting>
  <conditionalFormatting sqref="D7">
    <cfRule type="expression" dxfId="23" priority="33">
      <formula>$A7="Yes"</formula>
    </cfRule>
  </conditionalFormatting>
  <conditionalFormatting sqref="D8">
    <cfRule type="expression" dxfId="22" priority="32">
      <formula>$A8="Yes"</formula>
    </cfRule>
  </conditionalFormatting>
  <conditionalFormatting sqref="D9">
    <cfRule type="expression" dxfId="21" priority="31">
      <formula>$A9="Yes"</formula>
    </cfRule>
  </conditionalFormatting>
  <conditionalFormatting sqref="D10">
    <cfRule type="expression" dxfId="20" priority="30">
      <formula>$A10="Yes"</formula>
    </cfRule>
  </conditionalFormatting>
  <conditionalFormatting sqref="D11">
    <cfRule type="expression" dxfId="19" priority="29">
      <formula>$A11="Yes"</formula>
    </cfRule>
  </conditionalFormatting>
  <conditionalFormatting sqref="D12">
    <cfRule type="expression" dxfId="18" priority="28">
      <formula>$A12="Yes"</formula>
    </cfRule>
  </conditionalFormatting>
  <conditionalFormatting sqref="D13">
    <cfRule type="expression" dxfId="17" priority="27">
      <formula>$A13="Yes"</formula>
    </cfRule>
  </conditionalFormatting>
  <conditionalFormatting sqref="D14">
    <cfRule type="expression" dxfId="16" priority="26">
      <formula>$A14="Yes"</formula>
    </cfRule>
  </conditionalFormatting>
  <conditionalFormatting sqref="D15">
    <cfRule type="expression" dxfId="15" priority="25">
      <formula>$A15="Yes"</formula>
    </cfRule>
  </conditionalFormatting>
  <conditionalFormatting sqref="F4">
    <cfRule type="expression" dxfId="14" priority="21">
      <formula>$A4="Yes"</formula>
    </cfRule>
  </conditionalFormatting>
  <conditionalFormatting sqref="F6">
    <cfRule type="expression" dxfId="13" priority="19">
      <formula>$A6="Yes"</formula>
    </cfRule>
  </conditionalFormatting>
  <conditionalFormatting sqref="F7">
    <cfRule type="expression" dxfId="12" priority="18">
      <formula>$A7="Yes"</formula>
    </cfRule>
  </conditionalFormatting>
  <conditionalFormatting sqref="F8">
    <cfRule type="expression" dxfId="11" priority="17">
      <formula>$A8="Yes"</formula>
    </cfRule>
  </conditionalFormatting>
  <conditionalFormatting sqref="F9">
    <cfRule type="expression" dxfId="10" priority="16">
      <formula>$A9="Yes"</formula>
    </cfRule>
  </conditionalFormatting>
  <conditionalFormatting sqref="F10">
    <cfRule type="expression" dxfId="9" priority="15">
      <formula>$A10="Yes"</formula>
    </cfRule>
  </conditionalFormatting>
  <conditionalFormatting sqref="F12">
    <cfRule type="expression" dxfId="8" priority="14">
      <formula>$A12="Yes"</formula>
    </cfRule>
  </conditionalFormatting>
  <conditionalFormatting sqref="E9:E10">
    <cfRule type="expression" dxfId="7" priority="10">
      <formula>$A9="Yes"</formula>
    </cfRule>
  </conditionalFormatting>
  <conditionalFormatting sqref="E13">
    <cfRule type="expression" dxfId="6" priority="9">
      <formula>$A13="Yes"</formula>
    </cfRule>
  </conditionalFormatting>
  <conditionalFormatting sqref="E14">
    <cfRule type="expression" dxfId="5" priority="8">
      <formula>$A14="Yes"</formula>
    </cfRule>
  </conditionalFormatting>
  <conditionalFormatting sqref="E15">
    <cfRule type="expression" dxfId="4" priority="7">
      <formula>$A15="Yes"</formula>
    </cfRule>
  </conditionalFormatting>
  <conditionalFormatting sqref="G15">
    <cfRule type="expression" dxfId="3" priority="5">
      <formula>$A15="Yes"</formula>
    </cfRule>
  </conditionalFormatting>
  <conditionalFormatting sqref="H15">
    <cfRule type="expression" dxfId="2" priority="4">
      <formula>$A15="Yes"</formula>
    </cfRule>
  </conditionalFormatting>
  <conditionalFormatting sqref="E7">
    <cfRule type="expression" dxfId="1" priority="2">
      <formula>$A7="Yes"</formula>
    </cfRule>
  </conditionalFormatting>
  <conditionalFormatting sqref="E3">
    <cfRule type="expression" dxfId="0" priority="1">
      <formula>$A3="Yes"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Invalid ServiceId" error="An invalid service ID value is set. Please review and correct. " xr:uid="{CAB16213-5996-46A4-9FDE-45DB86A05F20}">
          <x14:formula1>
            <xm:f>DropdownList!$B$2:$B$7</xm:f>
          </x14:formula1>
          <xm:sqref>C2:C15</xm:sqref>
        </x14:dataValidation>
        <x14:dataValidation type="list" allowBlank="1" showInputMessage="1" showErrorMessage="1" errorTitle="Invalid Value" error="Invalid CACC ID  value" xr:uid="{817C0B60-F4FA-49FB-8D20-BCD994B34D3F}">
          <x14:formula1>
            <xm:f>DropdownList!$A$2:$A$7</xm:f>
          </x14:formula1>
          <xm:sqref>B2:B15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F18B-A765-4846-9B91-5AC59DBF0D07}">
  <sheetPr codeName="Sheet5"/>
  <dimension ref="A1:C6"/>
  <sheetViews>
    <sheetView showGridLines="0" workbookViewId="0">
      <selection activeCell="B22" sqref="B22"/>
    </sheetView>
  </sheetViews>
  <sheetFormatPr defaultRowHeight="14.4" x14ac:dyDescent="0.3"/>
  <cols>
    <col min="1" max="1" width="11.33203125" style="14" customWidth="1"/>
    <col min="2" max="2" width="32" style="13" customWidth="1"/>
    <col min="3" max="3" width="19.21875" style="13" customWidth="1"/>
    <col min="4" max="16384" width="8.88671875" style="13"/>
  </cols>
  <sheetData>
    <row r="1" spans="1:3" x14ac:dyDescent="0.3">
      <c r="A1" s="16" t="s">
        <v>26</v>
      </c>
      <c r="B1" s="15" t="s">
        <v>25</v>
      </c>
      <c r="C1" s="15" t="s">
        <v>29</v>
      </c>
    </row>
    <row r="2" spans="1:3" x14ac:dyDescent="0.3">
      <c r="A2" s="14">
        <v>454</v>
      </c>
      <c r="B2" s="13" t="s">
        <v>28</v>
      </c>
      <c r="C2" s="18" t="s">
        <v>30</v>
      </c>
    </row>
    <row r="3" spans="1:3" x14ac:dyDescent="0.3">
      <c r="A3" s="14">
        <v>910</v>
      </c>
      <c r="B3" s="13" t="s">
        <v>37</v>
      </c>
      <c r="C3" s="13" t="s">
        <v>36</v>
      </c>
    </row>
    <row r="4" spans="1:3" x14ac:dyDescent="0.3">
      <c r="A4" s="14">
        <v>920</v>
      </c>
      <c r="B4" s="13" t="s">
        <v>34</v>
      </c>
      <c r="C4" s="13" t="s">
        <v>33</v>
      </c>
    </row>
    <row r="5" spans="1:3" x14ac:dyDescent="0.3">
      <c r="A5" s="14">
        <v>921</v>
      </c>
      <c r="B5" s="17" t="s">
        <v>27</v>
      </c>
      <c r="C5" s="13" t="s">
        <v>35</v>
      </c>
    </row>
    <row r="6" spans="1:3" x14ac:dyDescent="0.3">
      <c r="A6" s="14">
        <v>930</v>
      </c>
      <c r="B6" s="13" t="s">
        <v>32</v>
      </c>
      <c r="C6" s="13" t="s">
        <v>31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34a106e-6316-442c-ad35-738afd673d2b}" enabled="1" method="Standard" siteId="{cddc1229-ac2a-4b97-b78a-0e5cacb5865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Tool</vt:lpstr>
      <vt:lpstr>QueryIncidents_Params</vt:lpstr>
      <vt:lpstr>DropdownList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Jin, Duncan (MOH)</dc:creator>
  <cp:lastModifiedBy>Iltefat, Syed (MPBSDP)</cp:lastModifiedBy>
  <dcterms:created xsi:type="dcterms:W3CDTF">2015-06-05T18:17:20Z</dcterms:created>
  <dcterms:modified xsi:type="dcterms:W3CDTF">2025-11-14T16:39:51Z</dcterms:modified>
</cp:coreProperties>
</file>